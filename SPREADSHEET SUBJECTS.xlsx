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mc:Ignorable="x15">
  <fileVersion appName="xl" lastEdited="6" lowestEdited="6" rupBuild="14420"/>
  <workbookPr defaultThemeVersion="164011"/>
  <mc:AlternateContent xmlns:mc="http://schemas.openxmlformats.org/markup-compatibility/2006">
    <mc:Choice Requires="x15">
      <x15ac:absPath xmlns:x15ac="http://schemas.microsoft.com/office/spreadsheetml/2010/11/ac" url="C:\Chitransh word doc\"/>
    </mc:Choice>
  </mc:AlternateContent>
  <bookViews>
    <workbookView xWindow="0" yWindow="0" windowWidth="28800" windowHeight="12210" activeTab="1"/>
  </bookViews>
  <sheets>
    <sheet name="Sheet1" sheetId="1" r:id="rId1"/>
    <sheet name="Sheet2" sheetId="2" r:id="rId2"/>
  </sheets>
  <calcPr calcId="162913"/>
  <extLst>
    <ext xmlns:x15="http://schemas.microsoft.com/office/spreadsheetml/2010/11/main" uri="{140A7094-0E35-4892-8432-C4D2E57EDEB5}">
      <x15:workbookPr chartTrackingRefBase="1"/>
    </ext>
  </extLst>
</workbook>
</file>

<file path=xl/calcChain.xml><?xml version="1.0" encoding="utf-8"?>
<calcChain xmlns="http://schemas.openxmlformats.org/spreadsheetml/2006/main">
  <c r="D3" i="2" l="1"/>
  <c r="D4" i="2"/>
  <c r="D5" i="2"/>
  <c r="D6" i="2"/>
  <c r="D7" i="2"/>
  <c r="D8" i="2"/>
  <c r="D9" i="2"/>
  <c r="D10" i="2"/>
  <c r="D11" i="2"/>
  <c r="D12" i="2"/>
  <c r="D13" i="2"/>
  <c r="D14" i="2"/>
  <c r="D15" i="2"/>
  <c r="D16" i="2"/>
  <c r="D17" i="2"/>
  <c r="D18" i="2"/>
  <c r="D19" i="2"/>
  <c r="D20" i="2"/>
  <c r="D2" i="2"/>
  <c r="C3" i="2"/>
  <c r="C4" i="2"/>
  <c r="C5" i="2"/>
  <c r="C6" i="2"/>
  <c r="C7" i="2"/>
  <c r="C8" i="2"/>
  <c r="C9" i="2"/>
  <c r="C10" i="2"/>
  <c r="C11" i="2"/>
  <c r="C12" i="2"/>
  <c r="C13" i="2"/>
  <c r="C14" i="2"/>
  <c r="C15" i="2"/>
  <c r="C16" i="2"/>
  <c r="C17" i="2"/>
  <c r="C18" i="2"/>
  <c r="C19" i="2"/>
  <c r="C20" i="2"/>
  <c r="C2" i="2"/>
  <c r="K3" i="1" l="1"/>
  <c r="K4" i="1"/>
  <c r="K5" i="1"/>
  <c r="K6" i="1"/>
  <c r="K7" i="1"/>
  <c r="K8" i="1"/>
  <c r="K9" i="1"/>
  <c r="K10" i="1"/>
  <c r="K11" i="1"/>
  <c r="K12" i="1"/>
  <c r="K13" i="1"/>
  <c r="K14" i="1"/>
  <c r="K15" i="1"/>
  <c r="K16" i="1"/>
  <c r="K17" i="1"/>
  <c r="K18" i="1"/>
  <c r="K19" i="1"/>
  <c r="K20" i="1"/>
  <c r="K2" i="1"/>
  <c r="I3" i="1"/>
  <c r="L3" i="1" s="1"/>
  <c r="I4" i="1"/>
  <c r="I5" i="1"/>
  <c r="I6" i="1"/>
  <c r="I7" i="1"/>
  <c r="I8" i="1"/>
  <c r="I9" i="1"/>
  <c r="L9" i="1" s="1"/>
  <c r="I10" i="1"/>
  <c r="L10" i="1" s="1"/>
  <c r="I11" i="1"/>
  <c r="L11" i="1" s="1"/>
  <c r="I12" i="1"/>
  <c r="L12" i="1" s="1"/>
  <c r="I13" i="1"/>
  <c r="L13" i="1" s="1"/>
  <c r="I14" i="1"/>
  <c r="L14" i="1" s="1"/>
  <c r="I15" i="1"/>
  <c r="L15" i="1" s="1"/>
  <c r="I16" i="1"/>
  <c r="I17" i="1"/>
  <c r="I18" i="1"/>
  <c r="I19" i="1"/>
  <c r="I20" i="1"/>
  <c r="I2" i="1"/>
  <c r="L2" i="1" s="1"/>
  <c r="L4" i="1"/>
  <c r="L5" i="1"/>
  <c r="L6" i="1"/>
  <c r="L7" i="1"/>
  <c r="L8" i="1"/>
  <c r="L16" i="1"/>
  <c r="L17" i="1"/>
  <c r="L18" i="1"/>
  <c r="L19" i="1"/>
  <c r="L20" i="1"/>
  <c r="H18" i="1"/>
  <c r="J18" i="1"/>
  <c r="H19" i="1"/>
  <c r="J19" i="1"/>
  <c r="J9" i="1" l="1"/>
  <c r="J10" i="1"/>
  <c r="J11" i="1"/>
  <c r="J12" i="1"/>
  <c r="J13" i="1"/>
  <c r="H10" i="1"/>
  <c r="H2" i="1"/>
  <c r="J2" i="1" s="1"/>
  <c r="H3" i="1"/>
  <c r="J3" i="1" s="1"/>
  <c r="H5" i="1"/>
  <c r="J5" i="1" s="1"/>
  <c r="H6" i="1"/>
  <c r="J6" i="1" s="1"/>
  <c r="H7" i="1"/>
  <c r="J7" i="1" s="1"/>
  <c r="H8" i="1"/>
  <c r="J8" i="1" s="1"/>
  <c r="H9" i="1"/>
  <c r="H11" i="1"/>
  <c r="H12" i="1"/>
  <c r="H13" i="1"/>
  <c r="H14" i="1"/>
  <c r="J14" i="1" s="1"/>
  <c r="H15" i="1"/>
  <c r="J15" i="1" s="1"/>
  <c r="H16" i="1"/>
  <c r="J16" i="1" s="1"/>
  <c r="H17" i="1"/>
  <c r="J17" i="1" s="1"/>
  <c r="H20" i="1"/>
  <c r="J20" i="1" s="1"/>
  <c r="H4" i="1" l="1"/>
  <c r="J4" i="1" s="1"/>
</calcChain>
</file>

<file path=xl/sharedStrings.xml><?xml version="1.0" encoding="utf-8"?>
<sst xmlns="http://schemas.openxmlformats.org/spreadsheetml/2006/main" count="93" uniqueCount="72">
  <si>
    <t>P20 Roll No.</t>
  </si>
  <si>
    <t>Student Name</t>
  </si>
  <si>
    <t>Subject 1</t>
  </si>
  <si>
    <t>Subject 2</t>
  </si>
  <si>
    <t>Subject 3</t>
  </si>
  <si>
    <t>Subject 4</t>
  </si>
  <si>
    <t>Subject 5</t>
  </si>
  <si>
    <t>Total Marks</t>
  </si>
  <si>
    <t>Percentage</t>
  </si>
  <si>
    <t>P20001</t>
  </si>
  <si>
    <t>Student 1</t>
  </si>
  <si>
    <t>P20002</t>
  </si>
  <si>
    <t>Student 2</t>
  </si>
  <si>
    <t>P20003</t>
  </si>
  <si>
    <t>Student 3</t>
  </si>
  <si>
    <t>P20004</t>
  </si>
  <si>
    <t>Student 4</t>
  </si>
  <si>
    <t>P20005</t>
  </si>
  <si>
    <t>Student 5</t>
  </si>
  <si>
    <t>P20006</t>
  </si>
  <si>
    <t>Student 6</t>
  </si>
  <si>
    <t>P20007</t>
  </si>
  <si>
    <t>Student 7</t>
  </si>
  <si>
    <t>P20008</t>
  </si>
  <si>
    <t>Student 8</t>
  </si>
  <si>
    <t>P20009</t>
  </si>
  <si>
    <t>Student 9</t>
  </si>
  <si>
    <t>P20010</t>
  </si>
  <si>
    <t>Student 10</t>
  </si>
  <si>
    <t>P20011</t>
  </si>
  <si>
    <t>Student 11</t>
  </si>
  <si>
    <t>P20012</t>
  </si>
  <si>
    <t>Student 12</t>
  </si>
  <si>
    <t>P20013</t>
  </si>
  <si>
    <t>Student 13</t>
  </si>
  <si>
    <t>P20014</t>
  </si>
  <si>
    <t>Student 14</t>
  </si>
  <si>
    <t>P20015</t>
  </si>
  <si>
    <t>Student 15</t>
  </si>
  <si>
    <t>P20016</t>
  </si>
  <si>
    <t>Student 16</t>
  </si>
  <si>
    <t>P20017</t>
  </si>
  <si>
    <t>Student 17</t>
  </si>
  <si>
    <t>P20018</t>
  </si>
  <si>
    <t>Student 18</t>
  </si>
  <si>
    <t>P20020</t>
  </si>
  <si>
    <t>Student 20</t>
  </si>
  <si>
    <t>Result</t>
  </si>
  <si>
    <t>DISTINCTION</t>
  </si>
  <si>
    <t>1st Division</t>
  </si>
  <si>
    <t>2 nd division</t>
  </si>
  <si>
    <t>Name</t>
  </si>
  <si>
    <t>Total</t>
  </si>
  <si>
    <t xml:space="preserve">Student1 </t>
  </si>
  <si>
    <t>Student2</t>
  </si>
  <si>
    <t>Student3</t>
  </si>
  <si>
    <t>Student4</t>
  </si>
  <si>
    <t>Student5</t>
  </si>
  <si>
    <t>Student6</t>
  </si>
  <si>
    <t>Student7</t>
  </si>
  <si>
    <t>Student8</t>
  </si>
  <si>
    <t>Student9</t>
  </si>
  <si>
    <t>Student10</t>
  </si>
  <si>
    <t>Student11</t>
  </si>
  <si>
    <t>Student12</t>
  </si>
  <si>
    <t>Student13</t>
  </si>
  <si>
    <t>Student14</t>
  </si>
  <si>
    <t>Student15</t>
  </si>
  <si>
    <t>Student16</t>
  </si>
  <si>
    <t>Student17</t>
  </si>
  <si>
    <t>Student18</t>
  </si>
  <si>
    <t>Student19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</si>
</sst>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mc:Ignorable="x14ac x16r2">
  <fonts count="5" x14ac:knownFonts="1"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  <font>
      <sz val="11"/>
      <color rgb="FF383A42"/>
      <name val="Consolas"/>
      <family val="3"/>
    </font>
    <font>
      <b/>
      <sz val="12"/>
      <color theme="1"/>
      <name val="Calibri"/>
      <family val="2"/>
      <scheme val="minor"/>
    </font>
    <font>
      <sz val="12"/>
      <color theme="1"/>
      <name val="Calibri"/>
      <family val="2"/>
      <scheme val="minor"/>
    </font>
  </fonts>
  <fills count="2">
    <fill>
      <patternFill patternType="none"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8">
    <xf numFmtId="0" fontId="0" fillId="0" borderId="0" xfId="0"/>
    <xf numFmtId="0" fontId="1" fillId="0" borderId="0" xfId="0" applyFont="1" applyAlignment="1">
      <alignment horizontal="center" vertical="center" wrapText="1"/>
    </xf>
    <xf numFmtId="0" fontId="0" fillId="0" borderId="0" xfId="0" applyAlignment="1">
      <alignment vertical="center" wrapText="1"/>
    </xf>
    <xf numFmtId="0" fontId="1" fillId="0" borderId="0" xfId="0" applyFont="1"/>
    <xf numFmtId="0" fontId="2" fillId="0" borderId="0" xfId="0" applyFont="1"/>
    <xf numFmtId="2" fontId="0" fillId="0" borderId="0" xfId="0" applyNumberFormat="1" applyAlignment="1">
      <alignment vertical="center" wrapText="1"/>
    </xf>
    <xf numFmtId="0" fontId="3" fillId="0" borderId="0" xfId="0" applyFont="1" applyAlignment="1">
      <alignment horizontal="center" vertical="center" wrapText="1"/>
    </xf>
    <xf numFmtId="0" fontId="4" fillId="0" borderId="0" xfId="0" applyFont="1" applyAlignment="1">
      <alignment vertical="center" wrapText="1"/>
    </xf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theme" Target="theme/theme1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calcChain" Target="calcChain.xml"/><Relationship Id="rId5" Type="http://schemas.openxmlformats.org/officeDocument/2006/relationships/sharedStrings" Target="sharedStrings.xml"/><Relationship Id="rId4" Type="http://schemas.openxmlformats.org/officeDocument/2006/relationships/styles" Target="style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M20"/>
  <sheetViews>
    <sheetView zoomScale="115" zoomScaleNormal="115" workbookViewId="0">
      <selection activeCell="L20" sqref="L20"/>
    </sheetView>
  </sheetViews>
  <sheetFormatPr defaultRowHeight="15" x14ac:dyDescent="0.25"/>
  <cols>
    <col min="8" max="8" width="10.140625" bestFit="1" customWidth="1"/>
    <col min="10" max="10" width="39.42578125" customWidth="1"/>
    <col min="11" max="11" width="41.85546875" customWidth="1"/>
    <col min="12" max="12" width="17" customWidth="1"/>
    <col min="13" max="13" width="14.42578125" customWidth="1"/>
  </cols>
  <sheetData>
    <row r="1" spans="1:13" ht="30" x14ac:dyDescent="0.25">
      <c r="A1" s="1" t="s">
        <v>0</v>
      </c>
      <c r="B1" s="1" t="s">
        <v>1</v>
      </c>
      <c r="C1" s="1" t="s">
        <v>2</v>
      </c>
      <c r="D1" s="1" t="s">
        <v>3</v>
      </c>
      <c r="E1" s="1" t="s">
        <v>4</v>
      </c>
      <c r="F1" s="1" t="s">
        <v>5</v>
      </c>
      <c r="G1" s="1" t="s">
        <v>6</v>
      </c>
      <c r="H1" s="1" t="s">
        <v>7</v>
      </c>
      <c r="I1" s="1" t="s">
        <v>8</v>
      </c>
      <c r="J1" s="1" t="s">
        <v>47</v>
      </c>
      <c r="K1" s="1" t="s">
        <v>48</v>
      </c>
      <c r="L1" s="1" t="s">
        <v>49</v>
      </c>
      <c r="M1" s="1" t="s">
        <v>50</v>
      </c>
    </row>
    <row r="2" spans="1:13" ht="30" x14ac:dyDescent="0.25">
      <c r="A2" s="2" t="s">
        <v>9</v>
      </c>
      <c r="B2" s="2" t="s">
        <v>10</v>
      </c>
      <c r="C2" s="2">
        <v>74</v>
      </c>
      <c r="D2" s="2">
        <v>86</v>
      </c>
      <c r="E2" s="2">
        <v>65</v>
      </c>
      <c r="F2" s="2">
        <v>91</v>
      </c>
      <c r="G2" s="2">
        <v>47</v>
      </c>
      <c r="H2" s="2">
        <f>SUM(C2:G2)</f>
        <v>363</v>
      </c>
      <c r="I2" s="5">
        <f>AVERAGE(C2:G2)</f>
        <v>72.599999999999994</v>
      </c>
      <c r="J2" s="3" t="str">
        <f>IF(AND(C2&gt;=50,D2&gt;=50,E2&gt;O4=50,F2&gt;=50,G2&gt;=50,H2&gt;=50),"PASS","FAIL")</f>
        <v>FAIL</v>
      </c>
      <c r="K2" s="4" t="str">
        <f>IF(AND(J2="PASS", I2&gt;=75),"DISTINCTION","")</f>
        <v/>
      </c>
      <c r="L2" t="str">
        <f>IF(AND(J2="PASS",I2&gt;=60, I2&lt;75),"1 DIV","")</f>
        <v/>
      </c>
    </row>
    <row r="3" spans="1:13" ht="30" x14ac:dyDescent="0.25">
      <c r="A3" s="2" t="s">
        <v>11</v>
      </c>
      <c r="B3" s="2" t="s">
        <v>12</v>
      </c>
      <c r="C3" s="2">
        <v>71</v>
      </c>
      <c r="D3" s="2">
        <v>94</v>
      </c>
      <c r="E3" s="2">
        <v>79</v>
      </c>
      <c r="F3" s="2">
        <v>61</v>
      </c>
      <c r="G3" s="2">
        <v>87</v>
      </c>
      <c r="H3" s="2">
        <f>SUM(C3:G3)</f>
        <v>392</v>
      </c>
      <c r="I3" s="5">
        <f t="shared" ref="I3:I20" si="0">AVERAGE(C3:G3)</f>
        <v>78.400000000000006</v>
      </c>
      <c r="J3" s="3" t="str">
        <f t="shared" ref="J3:J20" si="1">IF(AND(C3&gt;=50,D3&gt;=50,E3&gt;=50,F3&gt;=50,G3&gt;=50,H3&gt;=50),"PASS","FAIL")</f>
        <v>PASS</v>
      </c>
      <c r="K3" s="4" t="str">
        <f t="shared" ref="K3:K20" si="2">IF(AND(J3="PASS", I3&gt;=75),"DISTINCTION","")</f>
        <v>DISTINCTION</v>
      </c>
      <c r="L3" t="str">
        <f t="shared" ref="L3:L20" si="3">IF(AND(J3="PASS",I3&gt;=60, I3&lt;75),"1 DIV","")</f>
        <v/>
      </c>
    </row>
    <row r="4" spans="1:13" ht="30" x14ac:dyDescent="0.25">
      <c r="A4" s="2" t="s">
        <v>13</v>
      </c>
      <c r="B4" s="2" t="s">
        <v>14</v>
      </c>
      <c r="C4" s="2">
        <v>72</v>
      </c>
      <c r="D4" s="2">
        <v>54</v>
      </c>
      <c r="E4" s="2">
        <v>70</v>
      </c>
      <c r="F4" s="2">
        <v>45</v>
      </c>
      <c r="G4" s="2">
        <v>55</v>
      </c>
      <c r="H4" s="2">
        <f>SUM(H2:H3)</f>
        <v>755</v>
      </c>
      <c r="I4" s="5">
        <f t="shared" si="0"/>
        <v>59.2</v>
      </c>
      <c r="J4" s="3" t="str">
        <f t="shared" si="1"/>
        <v>FAIL</v>
      </c>
      <c r="K4" s="4" t="str">
        <f t="shared" si="2"/>
        <v/>
      </c>
      <c r="L4" t="str">
        <f t="shared" si="3"/>
        <v/>
      </c>
    </row>
    <row r="5" spans="1:13" ht="30" x14ac:dyDescent="0.25">
      <c r="A5" s="2" t="s">
        <v>15</v>
      </c>
      <c r="B5" s="2" t="s">
        <v>16</v>
      </c>
      <c r="C5" s="2">
        <v>79</v>
      </c>
      <c r="D5" s="2">
        <v>68</v>
      </c>
      <c r="E5" s="2">
        <v>84</v>
      </c>
      <c r="F5" s="2">
        <v>89</v>
      </c>
      <c r="G5" s="2">
        <v>66</v>
      </c>
      <c r="H5" s="2">
        <f>SUM(C5:G5)</f>
        <v>386</v>
      </c>
      <c r="I5" s="5">
        <f t="shared" si="0"/>
        <v>77.2</v>
      </c>
      <c r="J5" s="3" t="str">
        <f t="shared" si="1"/>
        <v>PASS</v>
      </c>
      <c r="K5" s="4" t="str">
        <f t="shared" si="2"/>
        <v>DISTINCTION</v>
      </c>
      <c r="L5" t="str">
        <f t="shared" si="3"/>
        <v/>
      </c>
    </row>
    <row r="6" spans="1:13" ht="30" x14ac:dyDescent="0.25">
      <c r="A6" s="2" t="s">
        <v>17</v>
      </c>
      <c r="B6" s="2" t="s">
        <v>18</v>
      </c>
      <c r="C6" s="2">
        <v>90</v>
      </c>
      <c r="D6" s="2">
        <v>82</v>
      </c>
      <c r="E6" s="2">
        <v>77</v>
      </c>
      <c r="F6" s="2">
        <v>56</v>
      </c>
      <c r="G6" s="2">
        <v>93</v>
      </c>
      <c r="H6" s="2">
        <f>SUM(C6:G6)</f>
        <v>398</v>
      </c>
      <c r="I6" s="5">
        <f t="shared" si="0"/>
        <v>79.599999999999994</v>
      </c>
      <c r="J6" s="3" t="str">
        <f t="shared" si="1"/>
        <v>PASS</v>
      </c>
      <c r="K6" s="4" t="str">
        <f t="shared" si="2"/>
        <v>DISTINCTION</v>
      </c>
      <c r="L6" t="str">
        <f t="shared" si="3"/>
        <v/>
      </c>
    </row>
    <row r="7" spans="1:13" ht="30" x14ac:dyDescent="0.25">
      <c r="A7" s="2" t="s">
        <v>19</v>
      </c>
      <c r="B7" s="2" t="s">
        <v>20</v>
      </c>
      <c r="C7" s="2">
        <v>64</v>
      </c>
      <c r="D7" s="2">
        <v>83</v>
      </c>
      <c r="E7" s="2">
        <v>72</v>
      </c>
      <c r="F7" s="2">
        <v>69</v>
      </c>
      <c r="G7" s="2">
        <v>58</v>
      </c>
      <c r="H7" s="2">
        <f>SUM(H5:H6)</f>
        <v>784</v>
      </c>
      <c r="I7" s="5">
        <f t="shared" si="0"/>
        <v>69.2</v>
      </c>
      <c r="J7" s="3" t="str">
        <f t="shared" si="1"/>
        <v>PASS</v>
      </c>
      <c r="K7" s="4" t="str">
        <f t="shared" si="2"/>
        <v/>
      </c>
      <c r="L7" t="str">
        <f t="shared" si="3"/>
        <v>1 DIV</v>
      </c>
    </row>
    <row r="8" spans="1:13" ht="30" x14ac:dyDescent="0.25">
      <c r="A8" s="2" t="s">
        <v>21</v>
      </c>
      <c r="B8" s="2" t="s">
        <v>22</v>
      </c>
      <c r="C8" s="2">
        <v>61</v>
      </c>
      <c r="D8" s="2">
        <v>73</v>
      </c>
      <c r="E8" s="2">
        <v>67</v>
      </c>
      <c r="F8" s="2">
        <v>76</v>
      </c>
      <c r="G8" s="2">
        <v>87</v>
      </c>
      <c r="H8" s="2">
        <f>SUM(C8:G8)</f>
        <v>364</v>
      </c>
      <c r="I8" s="5">
        <f t="shared" si="0"/>
        <v>72.8</v>
      </c>
      <c r="J8" s="3" t="str">
        <f t="shared" si="1"/>
        <v>PASS</v>
      </c>
      <c r="K8" s="4" t="str">
        <f t="shared" si="2"/>
        <v/>
      </c>
      <c r="L8" t="str">
        <f t="shared" si="3"/>
        <v>1 DIV</v>
      </c>
    </row>
    <row r="9" spans="1:13" ht="30" x14ac:dyDescent="0.25">
      <c r="A9" s="2" t="s">
        <v>23</v>
      </c>
      <c r="B9" s="2" t="s">
        <v>24</v>
      </c>
      <c r="C9" s="2">
        <v>58</v>
      </c>
      <c r="D9" s="2">
        <v>70</v>
      </c>
      <c r="E9" s="2">
        <v>85</v>
      </c>
      <c r="F9" s="2">
        <v>74</v>
      </c>
      <c r="G9" s="2">
        <v>69</v>
      </c>
      <c r="H9" s="2">
        <f>SUM(C9:G9)</f>
        <v>356</v>
      </c>
      <c r="I9" s="5">
        <f t="shared" si="0"/>
        <v>71.2</v>
      </c>
      <c r="J9" s="3" t="str">
        <f t="shared" si="1"/>
        <v>PASS</v>
      </c>
      <c r="K9" s="4" t="str">
        <f t="shared" si="2"/>
        <v/>
      </c>
      <c r="L9" t="str">
        <f t="shared" si="3"/>
        <v>1 DIV</v>
      </c>
    </row>
    <row r="10" spans="1:13" ht="30" x14ac:dyDescent="0.25">
      <c r="A10" s="2" t="s">
        <v>25</v>
      </c>
      <c r="B10" s="2" t="s">
        <v>26</v>
      </c>
      <c r="C10" s="2">
        <v>49</v>
      </c>
      <c r="D10" s="2">
        <v>63</v>
      </c>
      <c r="E10" s="2">
        <v>60</v>
      </c>
      <c r="F10" s="2">
        <v>67</v>
      </c>
      <c r="G10" s="2">
        <v>55</v>
      </c>
      <c r="H10" s="2">
        <f>SUM(C10:G10)</f>
        <v>294</v>
      </c>
      <c r="I10" s="5">
        <f t="shared" si="0"/>
        <v>58.8</v>
      </c>
      <c r="J10" s="3" t="str">
        <f t="shared" si="1"/>
        <v>FAIL</v>
      </c>
      <c r="K10" s="4" t="str">
        <f t="shared" si="2"/>
        <v/>
      </c>
      <c r="L10" t="str">
        <f t="shared" si="3"/>
        <v/>
      </c>
    </row>
    <row r="11" spans="1:13" ht="30" x14ac:dyDescent="0.25">
      <c r="A11" s="2" t="s">
        <v>27</v>
      </c>
      <c r="B11" s="2" t="s">
        <v>28</v>
      </c>
      <c r="C11" s="2">
        <v>88</v>
      </c>
      <c r="D11" s="2">
        <v>91</v>
      </c>
      <c r="E11" s="2">
        <v>85</v>
      </c>
      <c r="F11" s="2">
        <v>90</v>
      </c>
      <c r="G11" s="2">
        <v>79</v>
      </c>
      <c r="H11" s="2">
        <f t="shared" ref="H11:H20" si="4">SUM(C11:G11)</f>
        <v>433</v>
      </c>
      <c r="I11" s="5">
        <f t="shared" si="0"/>
        <v>86.6</v>
      </c>
      <c r="J11" s="3" t="str">
        <f t="shared" si="1"/>
        <v>PASS</v>
      </c>
      <c r="K11" s="4" t="str">
        <f t="shared" si="2"/>
        <v>DISTINCTION</v>
      </c>
      <c r="L11" t="str">
        <f t="shared" si="3"/>
        <v/>
      </c>
    </row>
    <row r="12" spans="1:13" ht="30" x14ac:dyDescent="0.25">
      <c r="A12" s="2" t="s">
        <v>29</v>
      </c>
      <c r="B12" s="2" t="s">
        <v>30</v>
      </c>
      <c r="C12" s="2">
        <v>67</v>
      </c>
      <c r="D12" s="2">
        <v>77</v>
      </c>
      <c r="E12" s="2">
        <v>56</v>
      </c>
      <c r="F12" s="2">
        <v>68</v>
      </c>
      <c r="G12" s="2">
        <v>80</v>
      </c>
      <c r="H12" s="2">
        <f t="shared" si="4"/>
        <v>348</v>
      </c>
      <c r="I12" s="5">
        <f t="shared" si="0"/>
        <v>69.599999999999994</v>
      </c>
      <c r="J12" s="3" t="str">
        <f t="shared" si="1"/>
        <v>PASS</v>
      </c>
      <c r="K12" s="4" t="str">
        <f t="shared" si="2"/>
        <v/>
      </c>
      <c r="L12" t="str">
        <f t="shared" si="3"/>
        <v>1 DIV</v>
      </c>
    </row>
    <row r="13" spans="1:13" ht="30" x14ac:dyDescent="0.25">
      <c r="A13" s="2" t="s">
        <v>31</v>
      </c>
      <c r="B13" s="2" t="s">
        <v>32</v>
      </c>
      <c r="C13" s="2">
        <v>42</v>
      </c>
      <c r="D13" s="2">
        <v>59</v>
      </c>
      <c r="E13" s="2">
        <v>73</v>
      </c>
      <c r="F13" s="2">
        <v>65</v>
      </c>
      <c r="G13" s="2">
        <v>78</v>
      </c>
      <c r="H13" s="2">
        <f t="shared" si="4"/>
        <v>317</v>
      </c>
      <c r="I13" s="5">
        <f t="shared" si="0"/>
        <v>63.4</v>
      </c>
      <c r="J13" s="3" t="str">
        <f t="shared" si="1"/>
        <v>FAIL</v>
      </c>
      <c r="K13" s="4" t="str">
        <f t="shared" si="2"/>
        <v/>
      </c>
      <c r="L13" t="str">
        <f t="shared" si="3"/>
        <v/>
      </c>
    </row>
    <row r="14" spans="1:13" ht="30" x14ac:dyDescent="0.25">
      <c r="A14" s="2" t="s">
        <v>33</v>
      </c>
      <c r="B14" s="2" t="s">
        <v>34</v>
      </c>
      <c r="C14" s="2">
        <v>95</v>
      </c>
      <c r="D14" s="2">
        <v>88</v>
      </c>
      <c r="E14" s="2">
        <v>91</v>
      </c>
      <c r="F14" s="2">
        <v>79</v>
      </c>
      <c r="G14" s="2">
        <v>83</v>
      </c>
      <c r="H14" s="2">
        <f t="shared" si="4"/>
        <v>436</v>
      </c>
      <c r="I14" s="5">
        <f t="shared" si="0"/>
        <v>87.2</v>
      </c>
      <c r="J14" s="3" t="str">
        <f t="shared" si="1"/>
        <v>PASS</v>
      </c>
      <c r="K14" s="4" t="str">
        <f t="shared" si="2"/>
        <v>DISTINCTION</v>
      </c>
      <c r="L14" t="str">
        <f t="shared" si="3"/>
        <v/>
      </c>
    </row>
    <row r="15" spans="1:13" ht="30" x14ac:dyDescent="0.25">
      <c r="A15" s="2" t="s">
        <v>35</v>
      </c>
      <c r="B15" s="2" t="s">
        <v>36</v>
      </c>
      <c r="C15" s="2">
        <v>76</v>
      </c>
      <c r="D15" s="2">
        <v>85</v>
      </c>
      <c r="E15" s="2">
        <v>73</v>
      </c>
      <c r="F15" s="2">
        <v>91</v>
      </c>
      <c r="G15" s="2">
        <v>88</v>
      </c>
      <c r="H15" s="2">
        <f t="shared" si="4"/>
        <v>413</v>
      </c>
      <c r="I15" s="5">
        <f t="shared" si="0"/>
        <v>82.6</v>
      </c>
      <c r="J15" s="3" t="str">
        <f t="shared" si="1"/>
        <v>PASS</v>
      </c>
      <c r="K15" s="4" t="str">
        <f t="shared" si="2"/>
        <v>DISTINCTION</v>
      </c>
      <c r="L15" t="str">
        <f t="shared" si="3"/>
        <v/>
      </c>
    </row>
    <row r="16" spans="1:13" ht="30" x14ac:dyDescent="0.25">
      <c r="A16" s="2" t="s">
        <v>37</v>
      </c>
      <c r="B16" s="2" t="s">
        <v>38</v>
      </c>
      <c r="C16" s="2">
        <v>55</v>
      </c>
      <c r="D16" s="2">
        <v>61</v>
      </c>
      <c r="E16" s="2">
        <v>58</v>
      </c>
      <c r="F16" s="2">
        <v>60</v>
      </c>
      <c r="G16" s="2">
        <v>73</v>
      </c>
      <c r="H16" s="2">
        <f t="shared" si="4"/>
        <v>307</v>
      </c>
      <c r="I16" s="5">
        <f t="shared" si="0"/>
        <v>61.4</v>
      </c>
      <c r="J16" s="3" t="str">
        <f t="shared" si="1"/>
        <v>PASS</v>
      </c>
      <c r="K16" s="4" t="str">
        <f t="shared" si="2"/>
        <v/>
      </c>
      <c r="L16" t="str">
        <f t="shared" si="3"/>
        <v>1 DIV</v>
      </c>
    </row>
    <row r="17" spans="1:12" ht="30" x14ac:dyDescent="0.25">
      <c r="A17" s="2" t="s">
        <v>39</v>
      </c>
      <c r="B17" s="2" t="s">
        <v>40</v>
      </c>
      <c r="C17" s="2">
        <v>62</v>
      </c>
      <c r="D17" s="2">
        <v>74</v>
      </c>
      <c r="E17" s="2">
        <v>80</v>
      </c>
      <c r="F17" s="2">
        <v>90</v>
      </c>
      <c r="G17" s="2">
        <v>67</v>
      </c>
      <c r="H17" s="2">
        <f t="shared" si="4"/>
        <v>373</v>
      </c>
      <c r="I17" s="5">
        <f t="shared" si="0"/>
        <v>74.599999999999994</v>
      </c>
      <c r="J17" s="3" t="str">
        <f t="shared" si="1"/>
        <v>PASS</v>
      </c>
      <c r="K17" s="4" t="str">
        <f t="shared" si="2"/>
        <v/>
      </c>
      <c r="L17" t="str">
        <f t="shared" si="3"/>
        <v>1 DIV</v>
      </c>
    </row>
    <row r="18" spans="1:12" ht="30" x14ac:dyDescent="0.25">
      <c r="A18" s="2" t="s">
        <v>41</v>
      </c>
      <c r="B18" s="2" t="s">
        <v>42</v>
      </c>
      <c r="C18" s="2">
        <v>63.325000000000003</v>
      </c>
      <c r="D18" s="2">
        <v>72.599999999999994</v>
      </c>
      <c r="E18" s="2">
        <v>73.05</v>
      </c>
      <c r="F18" s="2">
        <v>79.2</v>
      </c>
      <c r="G18" s="2">
        <v>80.325000000000003</v>
      </c>
      <c r="H18" s="2">
        <f>SUM(C18:G18)</f>
        <v>368.5</v>
      </c>
      <c r="I18" s="5">
        <f t="shared" si="0"/>
        <v>73.7</v>
      </c>
      <c r="J18" s="3" t="str">
        <f>IF(AND(C18&gt;=50,D18&gt;=50,E18&gt;O20=50,F18&gt;=50,G18&gt;=50,H18&gt;=50),"PASS","FAIL")</f>
        <v>FAIL</v>
      </c>
      <c r="K18" s="4" t="str">
        <f t="shared" si="2"/>
        <v/>
      </c>
      <c r="L18" t="str">
        <f t="shared" si="3"/>
        <v/>
      </c>
    </row>
    <row r="19" spans="1:12" ht="30" x14ac:dyDescent="0.25">
      <c r="A19" s="2" t="s">
        <v>43</v>
      </c>
      <c r="B19" s="2" t="s">
        <v>44</v>
      </c>
      <c r="C19" s="2">
        <v>62.664705882352898</v>
      </c>
      <c r="D19" s="2">
        <v>72.258823529411799</v>
      </c>
      <c r="E19" s="2">
        <v>73.004411764705907</v>
      </c>
      <c r="F19" s="2">
        <v>79.907352941176498</v>
      </c>
      <c r="G19" s="2">
        <v>81.208823529411802</v>
      </c>
      <c r="H19" s="2">
        <f>SUM(C19:G19)</f>
        <v>369.0441176470589</v>
      </c>
      <c r="I19" s="5">
        <f t="shared" si="0"/>
        <v>73.808823529411782</v>
      </c>
      <c r="J19" s="3" t="str">
        <f t="shared" ref="J19" si="5">IF(AND(C19&gt;=50,D19&gt;=50,E19&gt;=50,F19&gt;=50,G19&gt;=50,H19&gt;=50),"PASS","FAIL")</f>
        <v>PASS</v>
      </c>
      <c r="K19" s="4" t="str">
        <f t="shared" si="2"/>
        <v/>
      </c>
      <c r="L19" t="str">
        <f t="shared" si="3"/>
        <v>1 DIV</v>
      </c>
    </row>
    <row r="20" spans="1:12" ht="30" x14ac:dyDescent="0.25">
      <c r="A20" s="2" t="s">
        <v>45</v>
      </c>
      <c r="B20" s="2" t="s">
        <v>46</v>
      </c>
      <c r="C20" s="2">
        <v>82</v>
      </c>
      <c r="D20" s="2">
        <v>87</v>
      </c>
      <c r="E20" s="2">
        <v>91</v>
      </c>
      <c r="F20" s="2">
        <v>89</v>
      </c>
      <c r="G20" s="2">
        <v>95</v>
      </c>
      <c r="H20" s="2">
        <f t="shared" si="4"/>
        <v>444</v>
      </c>
      <c r="I20" s="5">
        <f t="shared" si="0"/>
        <v>88.8</v>
      </c>
      <c r="J20" s="3" t="str">
        <f t="shared" si="1"/>
        <v>PASS</v>
      </c>
      <c r="K20" s="4" t="str">
        <f t="shared" si="2"/>
        <v>DISTINCTION</v>
      </c>
      <c r="L20" t="str">
        <f t="shared" si="3"/>
        <v/>
      </c>
    </row>
  </sheetData>
  <pageMargins left="0.7" right="0.7" top="0.75" bottom="0.75" header="0.3" footer="0.3"/>
  <pageSetup orientation="portrait" r:id="rId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D20"/>
  <sheetViews>
    <sheetView tabSelected="1" workbookViewId="0">
      <selection activeCell="H9" sqref="H9"/>
    </sheetView>
  </sheetViews>
  <sheetFormatPr defaultRowHeight="15" x14ac:dyDescent="0.25"/>
  <cols>
    <col min="2" max="2" width="13.85546875" customWidth="1"/>
    <col min="3" max="3" width="22.140625" customWidth="1"/>
    <col min="4" max="4" width="28.7109375" customWidth="1"/>
  </cols>
  <sheetData>
    <row r="1" spans="1:4" ht="31.5" x14ac:dyDescent="0.25">
      <c r="A1" s="6" t="s">
        <v>0</v>
      </c>
      <c r="B1" t="s">
        <v>51</v>
      </c>
      <c r="C1" t="s">
        <v>52</v>
      </c>
      <c r="D1" t="s">
        <v>8</v>
      </c>
    </row>
    <row r="2" spans="1:4" ht="15.75" x14ac:dyDescent="0.25">
      <c r="A2" s="7" t="s">
        <v>9</v>
      </c>
      <c r="B2" t="s">
        <v>53</v>
      </c>
      <c r="C2">
        <f>VLOOKUP(A2,Sheet1!A1:L20,8,0)</f>
        <v>363</v>
      </c>
      <c r="D2">
        <f>VLOOKUP(A2,Sheet1!A2:L20,9,0)</f>
        <v>72.599999999999994</v>
      </c>
    </row>
    <row r="3" spans="1:4" ht="15.75" x14ac:dyDescent="0.25">
      <c r="A3" s="7" t="s">
        <v>11</v>
      </c>
      <c r="B3" t="s">
        <v>54</v>
      </c>
      <c r="C3">
        <f>VLOOKUP(A3,Sheet1!A2:L21,8,0)</f>
        <v>392</v>
      </c>
      <c r="D3">
        <f>VLOOKUP(A3,Sheet1!A3:L21,9,0)</f>
        <v>78.400000000000006</v>
      </c>
    </row>
    <row r="4" spans="1:4" ht="15.75" x14ac:dyDescent="0.25">
      <c r="A4" s="7" t="s">
        <v>13</v>
      </c>
      <c r="B4" t="s">
        <v>55</v>
      </c>
      <c r="C4">
        <f>VLOOKUP(A4,Sheet1!A3:L22,8,0)</f>
        <v>755</v>
      </c>
      <c r="D4">
        <f>VLOOKUP(A4,Sheet1!A4:L22,9,0)</f>
        <v>59.2</v>
      </c>
    </row>
    <row r="5" spans="1:4" ht="15.75" x14ac:dyDescent="0.25">
      <c r="A5" s="7" t="s">
        <v>15</v>
      </c>
      <c r="B5" t="s">
        <v>56</v>
      </c>
      <c r="C5">
        <f>VLOOKUP(A5,Sheet1!A4:L23,8,0)</f>
        <v>386</v>
      </c>
      <c r="D5">
        <f>VLOOKUP(A5,Sheet1!A5:L23,9,0)</f>
        <v>77.2</v>
      </c>
    </row>
    <row r="6" spans="1:4" ht="15.75" x14ac:dyDescent="0.25">
      <c r="A6" s="7" t="s">
        <v>17</v>
      </c>
      <c r="B6" t="s">
        <v>57</v>
      </c>
      <c r="C6">
        <f>VLOOKUP(A6,Sheet1!A5:L24,8,0)</f>
        <v>398</v>
      </c>
      <c r="D6">
        <f>VLOOKUP(A6,Sheet1!A6:L24,9,0)</f>
        <v>79.599999999999994</v>
      </c>
    </row>
    <row r="7" spans="1:4" ht="15.75" x14ac:dyDescent="0.25">
      <c r="A7" s="7" t="s">
        <v>19</v>
      </c>
      <c r="B7" t="s">
        <v>58</v>
      </c>
      <c r="C7">
        <f>VLOOKUP(A7,Sheet1!A6:L25,8,0)</f>
        <v>784</v>
      </c>
      <c r="D7">
        <f>VLOOKUP(A7,Sheet1!A7:L25,9,0)</f>
        <v>69.2</v>
      </c>
    </row>
    <row r="8" spans="1:4" ht="15.75" x14ac:dyDescent="0.25">
      <c r="A8" s="7" t="s">
        <v>21</v>
      </c>
      <c r="B8" t="s">
        <v>59</v>
      </c>
      <c r="C8">
        <f>VLOOKUP(A8,Sheet1!A7:L26,8,0)</f>
        <v>364</v>
      </c>
      <c r="D8">
        <f>VLOOKUP(A8,Sheet1!A8:L26,9,0)</f>
        <v>72.8</v>
      </c>
    </row>
    <row r="9" spans="1:4" ht="15.75" x14ac:dyDescent="0.25">
      <c r="A9" s="7" t="s">
        <v>23</v>
      </c>
      <c r="B9" t="s">
        <v>60</v>
      </c>
      <c r="C9">
        <f>VLOOKUP(A9,Sheet1!A8:L27,8,0)</f>
        <v>356</v>
      </c>
      <c r="D9">
        <f>VLOOKUP(A9,Sheet1!A9:L27,9,0)</f>
        <v>71.2</v>
      </c>
    </row>
    <row r="10" spans="1:4" ht="15.75" x14ac:dyDescent="0.25">
      <c r="A10" s="7" t="s">
        <v>25</v>
      </c>
      <c r="B10" t="s">
        <v>61</v>
      </c>
      <c r="C10">
        <f>VLOOKUP(A10,Sheet1!A9:L28,8,0)</f>
        <v>294</v>
      </c>
      <c r="D10">
        <f>VLOOKUP(A10,Sheet1!A10:L28,9,0)</f>
        <v>58.8</v>
      </c>
    </row>
    <row r="11" spans="1:4" ht="15.75" x14ac:dyDescent="0.25">
      <c r="A11" s="7" t="s">
        <v>27</v>
      </c>
      <c r="B11" t="s">
        <v>62</v>
      </c>
      <c r="C11">
        <f>VLOOKUP(A11,Sheet1!A10:L29,8,0)</f>
        <v>433</v>
      </c>
      <c r="D11">
        <f>VLOOKUP(A11,Sheet1!A11:L29,9,0)</f>
        <v>86.6</v>
      </c>
    </row>
    <row r="12" spans="1:4" ht="15.75" x14ac:dyDescent="0.25">
      <c r="A12" s="7" t="s">
        <v>29</v>
      </c>
      <c r="B12" t="s">
        <v>63</v>
      </c>
      <c r="C12">
        <f>VLOOKUP(A12,Sheet1!A11:L30,8,0)</f>
        <v>348</v>
      </c>
      <c r="D12">
        <f>VLOOKUP(A12,Sheet1!A12:L30,9,0)</f>
        <v>69.599999999999994</v>
      </c>
    </row>
    <row r="13" spans="1:4" ht="15.75" x14ac:dyDescent="0.25">
      <c r="A13" s="7" t="s">
        <v>31</v>
      </c>
      <c r="B13" t="s">
        <v>64</v>
      </c>
      <c r="C13">
        <f>VLOOKUP(A13,Sheet1!A12:L31,8,0)</f>
        <v>317</v>
      </c>
      <c r="D13">
        <f>VLOOKUP(A13,Sheet1!A13:L31,9,0)</f>
        <v>63.4</v>
      </c>
    </row>
    <row r="14" spans="1:4" ht="15.75" x14ac:dyDescent="0.25">
      <c r="A14" s="7" t="s">
        <v>33</v>
      </c>
      <c r="B14" t="s">
        <v>65</v>
      </c>
      <c r="C14">
        <f>VLOOKUP(A14,Sheet1!A13:L32,8,0)</f>
        <v>436</v>
      </c>
      <c r="D14">
        <f>VLOOKUP(A14,Sheet1!A14:L32,9,0)</f>
        <v>87.2</v>
      </c>
    </row>
    <row r="15" spans="1:4" ht="15.75" x14ac:dyDescent="0.25">
      <c r="A15" s="7" t="s">
        <v>35</v>
      </c>
      <c r="B15" t="s">
        <v>66</v>
      </c>
      <c r="C15">
        <f>VLOOKUP(A15,Sheet1!A14:L33,8,0)</f>
        <v>413</v>
      </c>
      <c r="D15">
        <f>VLOOKUP(A15,Sheet1!A15:L33,9,0)</f>
        <v>82.6</v>
      </c>
    </row>
    <row r="16" spans="1:4" ht="15.75" x14ac:dyDescent="0.25">
      <c r="A16" s="7" t="s">
        <v>37</v>
      </c>
      <c r="B16" t="s">
        <v>67</v>
      </c>
      <c r="C16">
        <f>VLOOKUP(A16,Sheet1!A15:L34,8,0)</f>
        <v>307</v>
      </c>
      <c r="D16">
        <f>VLOOKUP(A16,Sheet1!A16:L34,9,0)</f>
        <v>61.4</v>
      </c>
    </row>
    <row r="17" spans="1:4" ht="15.75" x14ac:dyDescent="0.25">
      <c r="A17" s="7" t="s">
        <v>39</v>
      </c>
      <c r="B17" t="s">
        <v>68</v>
      </c>
      <c r="C17">
        <f>VLOOKUP(A17,Sheet1!A16:L35,8,0)</f>
        <v>373</v>
      </c>
      <c r="D17">
        <f>VLOOKUP(A17,Sheet1!A17:L35,9,0)</f>
        <v>74.599999999999994</v>
      </c>
    </row>
    <row r="18" spans="1:4" ht="15.75" x14ac:dyDescent="0.25">
      <c r="A18" s="7" t="s">
        <v>41</v>
      </c>
      <c r="B18" t="s">
        <v>69</v>
      </c>
      <c r="C18">
        <f>VLOOKUP(A18,Sheet1!A17:L36,8,0)</f>
        <v>368.5</v>
      </c>
      <c r="D18">
        <f>VLOOKUP(A18,Sheet1!A18:L36,9,0)</f>
        <v>73.7</v>
      </c>
    </row>
    <row r="19" spans="1:4" ht="15.75" x14ac:dyDescent="0.25">
      <c r="A19" s="7" t="s">
        <v>43</v>
      </c>
      <c r="B19" t="s">
        <v>70</v>
      </c>
      <c r="C19">
        <f>VLOOKUP(A19,Sheet1!A18:L37,8,0)</f>
        <v>369.0441176470589</v>
      </c>
      <c r="D19">
        <f>VLOOKUP(A19,Sheet1!A19:L37,9,0)</f>
        <v>73.808823529411782</v>
      </c>
    </row>
    <row r="20" spans="1:4" ht="15.75" x14ac:dyDescent="0.25">
      <c r="A20" s="7" t="s">
        <v>45</v>
      </c>
      <c r="B20" t="s">
        <v>71</v>
      </c>
      <c r="C20">
        <f>VLOOKUP(A20,Sheet1!A19:L38,8,0)</f>
        <v>444</v>
      </c>
      <c r="D20">
        <f>VLOOKUP(A20,Sheet1!A20:L38,9,0)</f>
        <v>88.8</v>
      </c>
    </row>
  </sheetData>
  <pageMargins left="0.7" right="0.7" top="0.75" bottom="0.75" header="0.3" footer="0.3"/>
  <pageSetup orientation="portrait"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2</vt:i4>
      </vt:variant>
    </vt:vector>
  </HeadingPairs>
  <TitlesOfParts>
    <vt:vector size="2" baseType="lpstr">
      <vt:lpstr>Sheet1</vt:lpstr>
      <vt:lpstr>Sheet2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SIT NGP. LAB6</dc:creator>
  <cp:lastModifiedBy>SIT NGP. LAB6</cp:lastModifiedBy>
  <dcterms:created xsi:type="dcterms:W3CDTF">2025-09-24T04:09:13Z</dcterms:created>
  <dcterms:modified xsi:type="dcterms:W3CDTF">2025-10-09T05:15:22Z</dcterms:modified>
</cp:coreProperties>
</file>